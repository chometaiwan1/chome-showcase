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f138466c9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庫存" sheetId="1" r:id="R70e892937e6a433e"/>
    <x:sheet xmlns:r="http://schemas.openxmlformats.org/officeDocument/2006/relationships" name="類別彙總" sheetId="2" r:id="R655028b905084844"/>
    <x:sheet xmlns:r="http://schemas.openxmlformats.org/officeDocument/2006/relationships" name="欄位說明" sheetId="3" r:id="R08e8c87a28b5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1F2937"/>
      <x:name val="Microsoft JhengHei"/>
    </x:font>
    <x:font>
      <x:b/>
      <x:sz val="10"/>
      <x:color rgb="FFFFFFFF"/>
      <x:name val="Microsoft JhengHei"/>
    </x:font>
    <x:font>
      <x:b/>
      <x:sz val="10"/>
      <x:color rgb="FF1F2937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5F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22c1e9ba547c8" /><Relationship Type="http://schemas.openxmlformats.org/officeDocument/2006/relationships/theme" Target="/xl/theme/theme1.xml" Id="R5b978584ac344960" /><Relationship Type="http://schemas.openxmlformats.org/officeDocument/2006/relationships/sharedStrings" Target="/xl/sharedStrings.xml" Id="R755eae1496e0494d" /><Relationship Type="http://schemas.openxmlformats.org/officeDocument/2006/relationships/worksheet" Target="/xl/worksheets/sheet1.xml" Id="R70e892937e6a433e" /><Relationship Type="http://schemas.openxmlformats.org/officeDocument/2006/relationships/worksheet" Target="/xl/worksheets/sheet2.xml" Id="R655028b905084844" /><Relationship Type="http://schemas.openxmlformats.org/officeDocument/2006/relationships/worksheet" Target="/xl/worksheets/sheet3.xml" Id="R08e8c87a28b54e11" /></Relationships>
</file>

<file path=xl/tables/table1.xml><?xml version="1.0" encoding="utf-8"?>
<x:table xmlns:x="http://schemas.openxmlformats.org/spreadsheetml/2006/main" id="1" name="InventoryTable" displayName="InventoryTable" ref="A1:I69" headerRowCount="1">
  <x:tableColumns count="9">
    <x:tableColumn id="1" name="類別"/>
    <x:tableColumn id="2" name="品名"/>
    <x:tableColumn id="3" name="規格/顏色"/>
    <x:tableColumn id="4" name="數量"/>
    <x:tableColumn id="5" name="單位"/>
    <x:tableColumn id="6" name="來源頁"/>
    <x:tableColumn id="7" name="原文辨識"/>
    <x:tableColumn id="8" name="辨識狀態"/>
    <x:tableColumn id="9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D22" headerRowCount="1">
  <x:tableColumns count="4">
    <x:tableColumn id="1" name="類別"/>
    <x:tableColumn id="2" name="品項筆數"/>
    <x:tableColumn id="3" name="可加總數量"/>
    <x:tableColumn id="4" name="待確認筆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0b236eb7574c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22d4543e114e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9" hidden="0" customWidth="1"/>
    <x:col min="5" max="5" width="8" hidden="0" customWidth="1"/>
    <x:col min="6" max="6" width="8" hidden="0" customWidth="1"/>
    <x:col min="7" max="7" width="30" hidden="0" customWidth="1"/>
    <x:col min="8" max="8" width="12" hidden="0" customWidth="1"/>
    <x:col min="9" max="9" width="34" hidden="0" customWidth="1"/>
  </x:cols>
  <x:sheetData>
    <x:row r="1">
      <x:c r="A1" s="4" t="str">
        <x:v>類別</x:v>
      </x:c>
      <x:c r="B1" s="4" t="str">
        <x:v>品名</x:v>
      </x:c>
      <x:c r="C1" s="4" t="str">
        <x:v>規格/顏色</x:v>
      </x:c>
      <x:c r="D1" s="4" t="str">
        <x:v>數量</x:v>
      </x:c>
      <x:c r="E1" s="4" t="str">
        <x:v>單位</x:v>
      </x:c>
      <x:c r="F1" s="4" t="str">
        <x:v>來源頁</x:v>
      </x:c>
      <x:c r="G1" s="4" t="str">
        <x:v>原文辨識</x:v>
      </x:c>
      <x:c r="H1" s="4" t="str">
        <x:v>辨識狀態</x:v>
      </x:c>
      <x:c r="I1" s="4" t="str">
        <x:v>備註</x:v>
      </x:c>
    </x:row>
    <x:row r="2">
      <x:c r="A2" s="9" t="str">
        <x:v>寢具</x:v>
      </x:c>
      <x:c r="B2" s="9" t="str">
        <x:v>大三</x:v>
      </x:c>
      <x:c r="C2" s="9" t="str"/>
      <x:c r="D2" s="7" t="n">
        <x:v>3</x:v>
      </x:c>
      <x:c r="E2" s="5" t="str">
        <x:v>件</x:v>
      </x:c>
      <x:c r="F2" s="5" t="str">
        <x:v>1</x:v>
      </x:c>
      <x:c r="G2" s="9" t="str">
        <x:v>03大三</x:v>
      </x:c>
      <x:c r="H2" s="9" t="str">
        <x:v>待確認</x:v>
      </x:c>
      <x:c r="I2" s="9" t="str">
        <x:v>品名筆跡不確定，可能為床組/枕套分類</x:v>
      </x:c>
    </x:row>
    <x:row r="3">
      <x:c r="A3" s="9" t="str">
        <x:v>寢具</x:v>
      </x:c>
      <x:c r="B3" s="9" t="str">
        <x:v>大綠</x:v>
      </x:c>
      <x:c r="C3" s="9" t="str">
        <x:v>綠色</x:v>
      </x:c>
      <x:c r="D3" s="7" t="n">
        <x:v>2</x:v>
      </x:c>
      <x:c r="E3" s="5" t="str">
        <x:v>件</x:v>
      </x:c>
      <x:c r="F3" s="5" t="str">
        <x:v>1</x:v>
      </x:c>
      <x:c r="G3" s="9" t="str">
        <x:v>2大綠</x:v>
      </x:c>
      <x:c r="H3" s="9" t="str">
        <x:v>待確認</x:v>
      </x:c>
      <x:c r="I3" s="9" t="str">
        <x:v>位於頁首，分類需確認</x:v>
      </x:c>
    </x:row>
    <x:row r="4">
      <x:c r="A4" s="9" t="str">
        <x:v>寢具</x:v>
      </x:c>
      <x:c r="B4" s="9" t="str">
        <x:v>大米</x:v>
      </x:c>
      <x:c r="C4" s="9" t="str">
        <x:v>米色</x:v>
      </x:c>
      <x:c r="D4" s="7" t="n">
        <x:v>12</x:v>
      </x:c>
      <x:c r="E4" s="5" t="str">
        <x:v>件</x:v>
      </x:c>
      <x:c r="F4" s="5" t="str">
        <x:v>1</x:v>
      </x:c>
      <x:c r="G4" s="9" t="str">
        <x:v>12大米</x:v>
      </x:c>
      <x:c r="H4" s="9" t="str">
        <x:v>待確認</x:v>
      </x:c>
      <x:c r="I4" s="9" t="str">
        <x:v>位於頁首，分類需確認</x:v>
      </x:c>
    </x:row>
    <x:row r="5">
      <x:c r="A5" s="9" t="str">
        <x:v>寢具</x:v>
      </x:c>
      <x:c r="B5" s="9" t="str">
        <x:v>小米</x:v>
      </x:c>
      <x:c r="C5" s="9" t="str">
        <x:v>米色/小</x:v>
      </x:c>
      <x:c r="D5" s="7" t="n">
        <x:v>4</x:v>
      </x:c>
      <x:c r="E5" s="5" t="str">
        <x:v>件</x:v>
      </x:c>
      <x:c r="F5" s="5" t="str">
        <x:v>1</x:v>
      </x:c>
      <x:c r="G5" s="9" t="str">
        <x:v>4小米</x:v>
      </x:c>
      <x:c r="H5" s="9" t="str">
        <x:v>待確認</x:v>
      </x:c>
      <x:c r="I5" s="9" t="str">
        <x:v>位於頁首，分類需確認</x:v>
      </x:c>
    </x:row>
    <x:row r="6">
      <x:c r="A6" s="9" t="str">
        <x:v>抱枕</x:v>
      </x:c>
      <x:c r="B6" s="9" t="str">
        <x:v>抱枕</x:v>
      </x:c>
      <x:c r="C6" s="9" t="str"/>
      <x:c r="D6" s="7" t="n">
        <x:v>2</x:v>
      </x:c>
      <x:c r="E6" s="5" t="str">
        <x:v>件</x:v>
      </x:c>
      <x:c r="F6" s="5" t="str">
        <x:v>1</x:v>
      </x:c>
      <x:c r="G6" s="9" t="str">
        <x:v>2抱枕</x:v>
      </x:c>
      <x:c r="H6" s="9" t="str">
        <x:v>待確認</x:v>
      </x:c>
      <x:c r="I6" s="9" t="str"/>
    </x:row>
    <x:row r="7">
      <x:c r="A7" s="9" t="str">
        <x:v>枕頭</x:v>
      </x:c>
      <x:c r="B7" s="9" t="str">
        <x:v>枕頭</x:v>
      </x:c>
      <x:c r="C7" s="9" t="str"/>
      <x:c r="D7" s="7" t="n">
        <x:v>9</x:v>
      </x:c>
      <x:c r="E7" s="5" t="str">
        <x:v>顆</x:v>
      </x:c>
      <x:c r="F7" s="5" t="str">
        <x:v>1</x:v>
      </x:c>
      <x:c r="G7" s="9" t="str">
        <x:v>9枕頭</x:v>
      </x:c>
      <x:c r="H7" s="9" t="str">
        <x:v>可辨識</x:v>
      </x:c>
      <x:c r="I7" s="9" t="str"/>
    </x:row>
    <x:row r="8">
      <x:c r="A8" s="9" t="str">
        <x:v>寢具</x:v>
      </x:c>
      <x:c r="B8" s="9" t="str">
        <x:v>大寢</x:v>
      </x:c>
      <x:c r="C8" s="9" t="str"/>
      <x:c r="D8" s="7" t="n">
        <x:v>4</x:v>
      </x:c>
      <x:c r="E8" s="5" t="str">
        <x:v>件</x:v>
      </x:c>
      <x:c r="F8" s="5" t="str">
        <x:v>1</x:v>
      </x:c>
      <x:c r="G8" s="9" t="str">
        <x:v>4大寢</x:v>
      </x:c>
      <x:c r="H8" s="9" t="str">
        <x:v>待確認</x:v>
      </x:c>
      <x:c r="I8" s="9" t="str">
        <x:v>可能為大寢具/大枕套</x:v>
      </x:c>
    </x:row>
    <x:row r="9">
      <x:c r="A9" s="9" t="str">
        <x:v>抱枕</x:v>
      </x:c>
      <x:c r="B9" s="9" t="str">
        <x:v>小抱枕</x:v>
      </x:c>
      <x:c r="C9" s="9" t="str"/>
      <x:c r="D9" s="7" t="n">
        <x:v>3</x:v>
      </x:c>
      <x:c r="E9" s="5" t="str">
        <x:v>顆</x:v>
      </x:c>
      <x:c r="F9" s="5" t="str">
        <x:v>1</x:v>
      </x:c>
      <x:c r="G9" s="9" t="str">
        <x:v>3小抱枕</x:v>
      </x:c>
      <x:c r="H9" s="9" t="str">
        <x:v>可辨識</x:v>
      </x:c>
      <x:c r="I9" s="9" t="str"/>
    </x:row>
    <x:row r="10">
      <x:c r="A10" s="9" t="str">
        <x:v>抱枕</x:v>
      </x:c>
      <x:c r="B10" s="9" t="str">
        <x:v>小咖</x:v>
      </x:c>
      <x:c r="C10" s="9" t="str">
        <x:v>咖色</x:v>
      </x:c>
      <x:c r="D10" s="7" t="n">
        <x:v>1</x:v>
      </x:c>
      <x:c r="E10" s="5" t="str">
        <x:v>顆</x:v>
      </x:c>
      <x:c r="F10" s="5" t="str">
        <x:v>1</x:v>
      </x:c>
      <x:c r="G10" s="9" t="str">
        <x:v>小咖...x1</x:v>
      </x:c>
      <x:c r="H10" s="9" t="str">
        <x:v>待確認</x:v>
      </x:c>
      <x:c r="I10" s="9" t="str">
        <x:v>括號內容不清楚</x:v>
      </x:c>
    </x:row>
    <x:row r="11">
      <x:c r="A11" s="9" t="str">
        <x:v>抱枕</x:v>
      </x:c>
      <x:c r="B11" s="9" t="str">
        <x:v>小灰</x:v>
      </x:c>
      <x:c r="C11" s="9" t="str">
        <x:v>灰色</x:v>
      </x:c>
      <x:c r="D11" s="7" t="n">
        <x:v>1</x:v>
      </x:c>
      <x:c r="E11" s="5" t="str">
        <x:v>顆</x:v>
      </x:c>
      <x:c r="F11" s="5" t="str">
        <x:v>1</x:v>
      </x:c>
      <x:c r="G11" s="9" t="str">
        <x:v>小灰...x1</x:v>
      </x:c>
      <x:c r="H11" s="9" t="str">
        <x:v>待確認</x:v>
      </x:c>
      <x:c r="I11" s="9" t="str">
        <x:v>括號內容不清楚</x:v>
      </x:c>
    </x:row>
    <x:row r="12">
      <x:c r="A12" s="9" t="str">
        <x:v>電器</x:v>
      </x:c>
      <x:c r="B12" s="9" t="str">
        <x:v>電風扇</x:v>
      </x:c>
      <x:c r="C12" s="9" t="str"/>
      <x:c r="D12" s="7" t="n">
        <x:v>1</x:v>
      </x:c>
      <x:c r="E12" s="5" t="str">
        <x:v>台</x:v>
      </x:c>
      <x:c r="F12" s="5" t="str">
        <x:v>1</x:v>
      </x:c>
      <x:c r="G12" s="9" t="str">
        <x:v>電風扇 x1</x:v>
      </x:c>
      <x:c r="H12" s="9" t="str">
        <x:v>可辨識</x:v>
      </x:c>
      <x:c r="I12" s="9" t="str"/>
    </x:row>
    <x:row r="13">
      <x:c r="A13" s="9" t="str">
        <x:v>寢具</x:v>
      </x:c>
      <x:c r="B13" s="9" t="str">
        <x:v>灰條</x:v>
      </x:c>
      <x:c r="C13" s="9" t="str">
        <x:v>灰條紋</x:v>
      </x:c>
      <x:c r="D13" s="7" t="n">
        <x:v>2</x:v>
      </x:c>
      <x:c r="E13" s="5" t="str">
        <x:v>件</x:v>
      </x:c>
      <x:c r="F13" s="5" t="str">
        <x:v>1</x:v>
      </x:c>
      <x:c r="G13" s="9" t="str">
        <x:v>灰條 x2（一大一小）</x:v>
      </x:c>
      <x:c r="H13" s="9" t="str">
        <x:v>可辨識</x:v>
      </x:c>
      <x:c r="I13" s="9" t="str">
        <x:v>一大一小</x:v>
      </x:c>
    </x:row>
    <x:row r="14">
      <x:c r="A14" s="9" t="str">
        <x:v>燈具</x:v>
      </x:c>
      <x:c r="B14" s="9" t="str">
        <x:v>LED平板燈</x:v>
      </x:c>
      <x:c r="C14" s="9" t="str"/>
      <x:c r="D14" s="7" t="n">
        <x:v>18</x:v>
      </x:c>
      <x:c r="E14" s="5" t="str">
        <x:v>盞</x:v>
      </x:c>
      <x:c r="F14" s="5" t="str">
        <x:v>1</x:v>
      </x:c>
      <x:c r="G14" s="9" t="str">
        <x:v>LED平板燈 (x18)</x:v>
      </x:c>
      <x:c r="H14" s="9" t="str">
        <x:v>可辨識</x:v>
      </x:c>
      <x:c r="I14" s="9" t="str"/>
    </x:row>
    <x:row r="15">
      <x:c r="A15" s="9" t="str">
        <x:v>燈具</x:v>
      </x:c>
      <x:c r="B15" s="9" t="str">
        <x:v>LED平板燈</x:v>
      </x:c>
      <x:c r="C15" s="9" t="str">
        <x:v>白光</x:v>
      </x:c>
      <x:c r="D15" s="7" t="n">
        <x:v>6</x:v>
      </x:c>
      <x:c r="E15" s="5" t="str">
        <x:v>盞</x:v>
      </x:c>
      <x:c r="F15" s="5" t="str">
        <x:v>1</x:v>
      </x:c>
      <x:c r="G15" s="9" t="str">
        <x:v>白光 x6</x:v>
      </x:c>
      <x:c r="H15" s="9" t="str">
        <x:v>可辨識</x:v>
      </x:c>
      <x:c r="I15" s="9" t="str"/>
    </x:row>
    <x:row r="16">
      <x:c r="A16" s="9" t="str">
        <x:v>燈具</x:v>
      </x:c>
      <x:c r="B16" s="9" t="str">
        <x:v>LED平板燈</x:v>
      </x:c>
      <x:c r="C16" s="9" t="str">
        <x:v>暖黃</x:v>
      </x:c>
      <x:c r="D16" s="7" t="n">
        <x:v>4</x:v>
      </x:c>
      <x:c r="E16" s="5" t="str">
        <x:v>盞</x:v>
      </x:c>
      <x:c r="F16" s="5" t="str">
        <x:v>1</x:v>
      </x:c>
      <x:c r="G16" s="9" t="str">
        <x:v>暖黃 x4</x:v>
      </x:c>
      <x:c r="H16" s="9" t="str">
        <x:v>可辨識</x:v>
      </x:c>
      <x:c r="I16" s="9" t="str"/>
    </x:row>
    <x:row r="17">
      <x:c r="A17" s="9" t="str">
        <x:v>燈具</x:v>
      </x:c>
      <x:c r="B17" s="9" t="str">
        <x:v>黑圓罩</x:v>
      </x:c>
      <x:c r="C17" s="9" t="str">
        <x:v>黑色</x:v>
      </x:c>
      <x:c r="D17" s="7" t="n">
        <x:v>1</x:v>
      </x:c>
      <x:c r="E17" s="5" t="str">
        <x:v>個</x:v>
      </x:c>
      <x:c r="F17" s="5" t="str">
        <x:v>1</x:v>
      </x:c>
      <x:c r="G17" s="9" t="str">
        <x:v>黑圓罩 x1</x:v>
      </x:c>
      <x:c r="H17" s="9" t="str">
        <x:v>可辨識</x:v>
      </x:c>
      <x:c r="I17" s="9" t="str"/>
    </x:row>
    <x:row r="18">
      <x:c r="A18" s="9" t="str">
        <x:v>收納/架類</x:v>
      </x:c>
      <x:c r="B18" s="9" t="str">
        <x:v>木衣架</x:v>
      </x:c>
      <x:c r="C18" s="9" t="str"/>
      <x:c r="D18" s="7" t="n">
        <x:v>2</x:v>
      </x:c>
      <x:c r="E18" s="5" t="str">
        <x:v>件</x:v>
      </x:c>
      <x:c r="F18" s="5" t="str">
        <x:v>1</x:v>
      </x:c>
      <x:c r="G18" s="9" t="str">
        <x:v>木衣架...x2</x:v>
      </x:c>
      <x:c r="H18" s="9" t="str">
        <x:v>待確認</x:v>
      </x:c>
      <x:c r="I18" s="9" t="str">
        <x:v>前後文字不清楚</x:v>
      </x:c>
    </x:row>
    <x:row r="19">
      <x:c r="A19" s="9" t="str">
        <x:v>建材/板材</x:v>
      </x:c>
      <x:c r="B19" s="9" t="str">
        <x:v>石膏天花木板</x:v>
      </x:c>
      <x:c r="C19" s="9" t="str">
        <x:v>黑色</x:v>
      </x:c>
      <x:c r="D19" s="7" t="n">
        <x:v>6</x:v>
      </x:c>
      <x:c r="E19" s="5" t="str">
        <x:v>片</x:v>
      </x:c>
      <x:c r="F19" s="5" t="str">
        <x:v>1</x:v>
      </x:c>
      <x:c r="G19" s="9" t="str">
        <x:v>石膏天花木板 黑 x6 B04</x:v>
      </x:c>
      <x:c r="H19" s="9" t="str">
        <x:v>待確認</x:v>
      </x:c>
      <x:c r="I19" s="9" t="str">
        <x:v>B04 是否為型號需確認</x:v>
      </x:c>
    </x:row>
    <x:row r="20">
      <x:c r="A20" s="9" t="str">
        <x:v>收納/架類</x:v>
      </x:c>
      <x:c r="B20" s="9" t="str">
        <x:v>5層架</x:v>
      </x:c>
      <x:c r="C20" s="9" t="str">
        <x:v>藍色</x:v>
      </x:c>
      <x:c r="D20" s="7" t="n">
        <x:v>1</x:v>
      </x:c>
      <x:c r="E20" s="5" t="str">
        <x:v>座</x:v>
      </x:c>
      <x:c r="F20" s="5" t="str">
        <x:v>1</x:v>
      </x:c>
      <x:c r="G20" s="9" t="str">
        <x:v>5層架 x1（藍色）</x:v>
      </x:c>
      <x:c r="H20" s="9" t="str">
        <x:v>待確認</x:v>
      </x:c>
      <x:c r="I20" s="9" t="str"/>
    </x:row>
    <x:row r="21">
      <x:c r="A21" s="9" t="str">
        <x:v>收納/架類</x:v>
      </x:c>
      <x:c r="B21" s="9" t="str">
        <x:v>3層櫃</x:v>
      </x:c>
      <x:c r="C21" s="9" t="str">
        <x:v>橘銀</x:v>
      </x:c>
      <x:c r="D21" s="7" t="n">
        <x:v>1</x:v>
      </x:c>
      <x:c r="E21" s="5" t="str">
        <x:v>座</x:v>
      </x:c>
      <x:c r="F21" s="5" t="str">
        <x:v>1</x:v>
      </x:c>
      <x:c r="G21" s="9" t="str">
        <x:v>3層櫃（橘銀）x1</x:v>
      </x:c>
      <x:c r="H21" s="9" t="str">
        <x:v>待確認</x:v>
      </x:c>
      <x:c r="I21" s="9" t="str"/>
    </x:row>
    <x:row r="22">
      <x:c r="A22" s="9" t="str">
        <x:v>收納/架類</x:v>
      </x:c>
      <x:c r="B22" s="9" t="str">
        <x:v>4門頂櫃</x:v>
      </x:c>
      <x:c r="C22" s="9" t="str"/>
      <x:c r="D22" s="7" t="n">
        <x:v>1</x:v>
      </x:c>
      <x:c r="E22" s="5" t="str">
        <x:v>座</x:v>
      </x:c>
      <x:c r="F22" s="5" t="str">
        <x:v>1</x:v>
      </x:c>
      <x:c r="G22" s="9" t="str">
        <x:v>4門頂櫃 x1</x:v>
      </x:c>
      <x:c r="H22" s="9" t="str">
        <x:v>待確認</x:v>
      </x:c>
      <x:c r="I22" s="9" t="str">
        <x:v>品名可能需校正</x:v>
      </x:c>
    </x:row>
    <x:row r="23">
      <x:c r="A23" s="9" t="str">
        <x:v>地毯</x:v>
      </x:c>
      <x:c r="B23" s="9" t="str">
        <x:v>米毯</x:v>
      </x:c>
      <x:c r="C23" s="9" t="str">
        <x:v>米色</x:v>
      </x:c>
      <x:c r="D23" s="7" t="n">
        <x:v>2</x:v>
      </x:c>
      <x:c r="E23" s="5" t="str">
        <x:v>張</x:v>
      </x:c>
      <x:c r="F23" s="5" t="str">
        <x:v>1</x:v>
      </x:c>
      <x:c r="G23" s="9" t="str">
        <x:v>米毯（55x85）x2</x:v>
      </x:c>
      <x:c r="H23" s="9" t="str">
        <x:v>可辨識</x:v>
      </x:c>
      <x:c r="I23" s="9" t="str">
        <x:v>尺寸 55x85</x:v>
      </x:c>
    </x:row>
    <x:row r="24">
      <x:c r="A24" s="9" t="str">
        <x:v>地毯</x:v>
      </x:c>
      <x:c r="B24" s="9" t="str">
        <x:v>黑米黃地毯</x:v>
      </x:c>
      <x:c r="C24" s="9" t="str">
        <x:v>黑/米/黃</x:v>
      </x:c>
      <x:c r="D24" s="7" t="n">
        <x:v>4</x:v>
      </x:c>
      <x:c r="E24" s="5" t="str">
        <x:v>張</x:v>
      </x:c>
      <x:c r="F24" s="5" t="str">
        <x:v>1</x:v>
      </x:c>
      <x:c r="G24" s="9" t="str">
        <x:v>黑米黃地毯（120x180）x4</x:v>
      </x:c>
      <x:c r="H24" s="9" t="str">
        <x:v>可辨識</x:v>
      </x:c>
      <x:c r="I24" s="9" t="str">
        <x:v>尺寸 120x180</x:v>
      </x:c>
    </x:row>
    <x:row r="25">
      <x:c r="A25" s="9" t="str">
        <x:v>運動/其他</x:v>
      </x:c>
      <x:c r="B25" s="9" t="str">
        <x:v>雙高爾夫球網</x:v>
      </x:c>
      <x:c r="C25" s="9" t="str"/>
      <x:c r="D25" s="7" t="n">
        <x:v>4</x:v>
      </x:c>
      <x:c r="E25" s="5" t="str">
        <x:v>組</x:v>
      </x:c>
      <x:c r="F25" s="5" t="str">
        <x:v>1</x:v>
      </x:c>
      <x:c r="G25" s="9" t="str">
        <x:v>雙...高爾夫球網 x4</x:v>
      </x:c>
      <x:c r="H25" s="9" t="str">
        <x:v>待確認</x:v>
      </x:c>
      <x:c r="I25" s="9" t="str">
        <x:v>前綴字不清楚</x:v>
      </x:c>
    </x:row>
    <x:row r="26">
      <x:c r="A26" s="9" t="str">
        <x:v>寢具</x:v>
      </x:c>
      <x:c r="B26" s="9" t="str">
        <x:v>雙人床組</x:v>
      </x:c>
      <x:c r="C26" s="9" t="str">
        <x:v>白/櫻粉/米/芋/奶茶等</x:v>
      </x:c>
      <x:c r="D26" s="7"/>
      <x:c r="E26" s="5" t="str">
        <x:v>組</x:v>
      </x:c>
      <x:c r="F26" s="5" t="str">
        <x:v>1</x:v>
      </x:c>
      <x:c r="G26" s="9" t="str">
        <x:v>雙人床組（白、櫻粉、米、芋、奶茶...）</x:v>
      </x:c>
      <x:c r="H26" s="9" t="str">
        <x:v>待確認</x:v>
      </x:c>
      <x:c r="I26" s="9" t="str">
        <x:v>原稿未清楚標出各色數量</x:v>
      </x:c>
    </x:row>
    <x:row r="27">
      <x:c r="A27" s="9" t="str">
        <x:v>寢具</x:v>
      </x:c>
      <x:c r="B27" s="9" t="str">
        <x:v>雙人羽絨被</x:v>
      </x:c>
      <x:c r="C27" s="9" t="str"/>
      <x:c r="D27" s="7" t="n">
        <x:v>1</x:v>
      </x:c>
      <x:c r="E27" s="5" t="str">
        <x:v>件</x:v>
      </x:c>
      <x:c r="F27" s="5" t="str">
        <x:v>1</x:v>
      </x:c>
      <x:c r="G27" s="9" t="str">
        <x:v>雙人羽絨被 x1</x:v>
      </x:c>
      <x:c r="H27" s="9" t="str">
        <x:v>可辨識</x:v>
      </x:c>
      <x:c r="I27" s="9" t="str"/>
    </x:row>
    <x:row r="28">
      <x:c r="A28" s="9" t="str">
        <x:v>毯類</x:v>
      </x:c>
      <x:c r="B28" s="9" t="str">
        <x:v>方用毯</x:v>
      </x:c>
      <x:c r="C28" s="9" t="str">
        <x:v>白</x:v>
      </x:c>
      <x:c r="D28" s="7" t="n">
        <x:v>1</x:v>
      </x:c>
      <x:c r="E28" s="5" t="str">
        <x:v>條</x:v>
      </x:c>
      <x:c r="F28" s="5" t="str">
        <x:v>2</x:v>
      </x:c>
      <x:c r="G28" s="9" t="str">
        <x:v>方用毯：白 x1</x:v>
      </x:c>
      <x:c r="H28" s="9" t="str">
        <x:v>可辨識</x:v>
      </x:c>
      <x:c r="I28" s="9" t="str"/>
    </x:row>
    <x:row r="29">
      <x:c r="A29" s="9" t="str">
        <x:v>毯類</x:v>
      </x:c>
      <x:c r="B29" s="9" t="str">
        <x:v>方用毯</x:v>
      </x:c>
      <x:c r="C29" s="9" t="str">
        <x:v>咖啡色</x:v>
      </x:c>
      <x:c r="D29" s="7" t="n">
        <x:v>1</x:v>
      </x:c>
      <x:c r="E29" s="5" t="str">
        <x:v>條</x:v>
      </x:c>
      <x:c r="F29" s="5" t="str">
        <x:v>2</x:v>
      </x:c>
      <x:c r="G29" s="9" t="str">
        <x:v>咖啡色 x1</x:v>
      </x:c>
      <x:c r="H29" s="9" t="str">
        <x:v>可辨識</x:v>
      </x:c>
      <x:c r="I29" s="9" t="str"/>
    </x:row>
    <x:row r="30">
      <x:c r="A30" s="9" t="str">
        <x:v>毯類</x:v>
      </x:c>
      <x:c r="B30" s="9" t="str">
        <x:v>方用毯</x:v>
      </x:c>
      <x:c r="C30" s="9" t="str">
        <x:v>深灰</x:v>
      </x:c>
      <x:c r="D30" s="7" t="n">
        <x:v>1</x:v>
      </x:c>
      <x:c r="E30" s="5" t="str">
        <x:v>條</x:v>
      </x:c>
      <x:c r="F30" s="5" t="str">
        <x:v>2</x:v>
      </x:c>
      <x:c r="G30" s="9" t="str">
        <x:v>深灰 x1</x:v>
      </x:c>
      <x:c r="H30" s="9" t="str">
        <x:v>可辨識</x:v>
      </x:c>
      <x:c r="I30" s="9" t="str"/>
    </x:row>
    <x:row r="31">
      <x:c r="A31" s="9" t="str">
        <x:v>毯類</x:v>
      </x:c>
      <x:c r="B31" s="9" t="str">
        <x:v>方用毯</x:v>
      </x:c>
      <x:c r="C31" s="9" t="str">
        <x:v>奶茶</x:v>
      </x:c>
      <x:c r="D31" s="7" t="n">
        <x:v>1</x:v>
      </x:c>
      <x:c r="E31" s="5" t="str">
        <x:v>條</x:v>
      </x:c>
      <x:c r="F31" s="5" t="str">
        <x:v>2</x:v>
      </x:c>
      <x:c r="G31" s="9" t="str">
        <x:v>奶茶 x1</x:v>
      </x:c>
      <x:c r="H31" s="9" t="str">
        <x:v>可辨識</x:v>
      </x:c>
      <x:c r="I31" s="9" t="str"/>
    </x:row>
    <x:row r="32">
      <x:c r="A32" s="9" t="str">
        <x:v>床組</x:v>
      </x:c>
      <x:c r="B32" s="9" t="str">
        <x:v>床組</x:v>
      </x:c>
      <x:c r="C32" s="9" t="str">
        <x:v>青霞</x:v>
      </x:c>
      <x:c r="D32" s="7" t="n">
        <x:v>2</x:v>
      </x:c>
      <x:c r="E32" s="5" t="str">
        <x:v>組</x:v>
      </x:c>
      <x:c r="F32" s="5" t="str">
        <x:v>2</x:v>
      </x:c>
      <x:c r="G32" s="9" t="str">
        <x:v>床組：青霞 x2</x:v>
      </x:c>
      <x:c r="H32" s="9" t="str">
        <x:v>待確認</x:v>
      </x:c>
      <x:c r="I32" s="9" t="str">
        <x:v>顏色字樣可能為青霞/青霧</x:v>
      </x:c>
    </x:row>
    <x:row r="33">
      <x:c r="A33" s="9" t="str">
        <x:v>床組</x:v>
      </x:c>
      <x:c r="B33" s="9" t="str">
        <x:v>床組</x:v>
      </x:c>
      <x:c r="C33" s="9" t="str">
        <x:v>果綠</x:v>
      </x:c>
      <x:c r="D33" s="7" t="n">
        <x:v>2</x:v>
      </x:c>
      <x:c r="E33" s="5" t="str">
        <x:v>組</x:v>
      </x:c>
      <x:c r="F33" s="5" t="str">
        <x:v>2</x:v>
      </x:c>
      <x:c r="G33" s="9" t="str">
        <x:v>果綠 x2</x:v>
      </x:c>
      <x:c r="H33" s="9" t="str">
        <x:v>可辨識</x:v>
      </x:c>
      <x:c r="I33" s="9" t="str"/>
    </x:row>
    <x:row r="34">
      <x:c r="A34" s="9" t="str">
        <x:v>床組</x:v>
      </x:c>
      <x:c r="B34" s="9" t="str">
        <x:v>床組</x:v>
      </x:c>
      <x:c r="C34" s="9" t="str">
        <x:v>奶茶</x:v>
      </x:c>
      <x:c r="D34" s="7" t="n">
        <x:v>4</x:v>
      </x:c>
      <x:c r="E34" s="5" t="str">
        <x:v>組</x:v>
      </x:c>
      <x:c r="F34" s="5" t="str">
        <x:v>2</x:v>
      </x:c>
      <x:c r="G34" s="9" t="str">
        <x:v>奶茶 x4</x:v>
      </x:c>
      <x:c r="H34" s="9" t="str">
        <x:v>可辨識</x:v>
      </x:c>
      <x:c r="I34" s="9" t="str"/>
    </x:row>
    <x:row r="35">
      <x:c r="A35" s="9" t="str">
        <x:v>床組</x:v>
      </x:c>
      <x:c r="B35" s="9" t="str">
        <x:v>床組</x:v>
      </x:c>
      <x:c r="C35" s="9" t="str">
        <x:v>咖啡</x:v>
      </x:c>
      <x:c r="D35" s="7" t="n">
        <x:v>2</x:v>
      </x:c>
      <x:c r="E35" s="5" t="str">
        <x:v>組</x:v>
      </x:c>
      <x:c r="F35" s="5" t="str">
        <x:v>2</x:v>
      </x:c>
      <x:c r="G35" s="9" t="str">
        <x:v>咖啡 x2</x:v>
      </x:c>
      <x:c r="H35" s="9" t="str">
        <x:v>可辨識</x:v>
      </x:c>
      <x:c r="I35" s="9" t="str"/>
    </x:row>
    <x:row r="36">
      <x:c r="A36" s="9" t="str">
        <x:v>地毯</x:v>
      </x:c>
      <x:c r="B36" s="9" t="str">
        <x:v>地毯</x:v>
      </x:c>
      <x:c r="C36" s="9" t="str">
        <x:v>藻綠</x:v>
      </x:c>
      <x:c r="D36" s="7"/>
      <x:c r="E36" s="5" t="str">
        <x:v>張</x:v>
      </x:c>
      <x:c r="F36" s="5" t="str">
        <x:v>2</x:v>
      </x:c>
      <x:c r="G36" s="9" t="str">
        <x:v>地毯 藻綠</x:v>
      </x:c>
      <x:c r="H36" s="9" t="str">
        <x:v>待確認</x:v>
      </x:c>
      <x:c r="I36" s="9" t="str">
        <x:v>未看清數量</x:v>
      </x:c>
    </x:row>
    <x:row r="37">
      <x:c r="A37" s="9" t="str">
        <x:v>地毯</x:v>
      </x:c>
      <x:c r="B37" s="9" t="str">
        <x:v>地毯</x:v>
      </x:c>
      <x:c r="C37" s="9" t="str">
        <x:v>白</x:v>
      </x:c>
      <x:c r="D37" s="7" t="n">
        <x:v>9</x:v>
      </x:c>
      <x:c r="E37" s="5" t="str">
        <x:v>張</x:v>
      </x:c>
      <x:c r="F37" s="5" t="str">
        <x:v>2</x:v>
      </x:c>
      <x:c r="G37" s="9" t="str">
        <x:v>白 x9</x:v>
      </x:c>
      <x:c r="H37" s="9" t="str">
        <x:v>可辨識</x:v>
      </x:c>
      <x:c r="I37" s="9" t="str"/>
    </x:row>
    <x:row r="38">
      <x:c r="A38" s="9" t="str">
        <x:v>屏風/隔屏</x:v>
      </x:c>
      <x:c r="B38" s="9" t="str">
        <x:v>屏</x:v>
      </x:c>
      <x:c r="C38" s="9" t="str">
        <x:v>奶茶</x:v>
      </x:c>
      <x:c r="D38" s="7" t="n">
        <x:v>1</x:v>
      </x:c>
      <x:c r="E38" s="5" t="str">
        <x:v>件</x:v>
      </x:c>
      <x:c r="F38" s="5" t="str">
        <x:v>2</x:v>
      </x:c>
      <x:c r="G38" s="9" t="str">
        <x:v>屏：奶茶 x1</x:v>
      </x:c>
      <x:c r="H38" s="9" t="str">
        <x:v>待確認</x:v>
      </x:c>
      <x:c r="I38" s="9" t="str">
        <x:v>品名可能為屏風</x:v>
      </x:c>
    </x:row>
    <x:row r="39">
      <x:c r="A39" s="9" t="str">
        <x:v>屏風/隔屏</x:v>
      </x:c>
      <x:c r="B39" s="9" t="str">
        <x:v>屏</x:v>
      </x:c>
      <x:c r="C39" s="9" t="str">
        <x:v>米</x:v>
      </x:c>
      <x:c r="D39" s="7" t="n">
        <x:v>1</x:v>
      </x:c>
      <x:c r="E39" s="5" t="str">
        <x:v>件</x:v>
      </x:c>
      <x:c r="F39" s="5" t="str">
        <x:v>2</x:v>
      </x:c>
      <x:c r="G39" s="9" t="str">
        <x:v>米 x1</x:v>
      </x:c>
      <x:c r="H39" s="9" t="str">
        <x:v>待確認</x:v>
      </x:c>
      <x:c r="I39" s="9" t="str">
        <x:v>品名可能為屏風</x:v>
      </x:c>
    </x:row>
    <x:row r="40">
      <x:c r="A40" s="9" t="str">
        <x:v>屏風/隔屏</x:v>
      </x:c>
      <x:c r="B40" s="9" t="str">
        <x:v>屏</x:v>
      </x:c>
      <x:c r="C40" s="9" t="str">
        <x:v>白</x:v>
      </x:c>
      <x:c r="D40" s="7" t="n">
        <x:v>2</x:v>
      </x:c>
      <x:c r="E40" s="5" t="str">
        <x:v>件</x:v>
      </x:c>
      <x:c r="F40" s="5" t="str">
        <x:v>2</x:v>
      </x:c>
      <x:c r="G40" s="9" t="str">
        <x:v>白 x2</x:v>
      </x:c>
      <x:c r="H40" s="9" t="str">
        <x:v>待確認</x:v>
      </x:c>
      <x:c r="I40" s="9" t="str">
        <x:v>品名可能為屏風</x:v>
      </x:c>
    </x:row>
    <x:row r="41">
      <x:c r="A41" s="9" t="str">
        <x:v>屏風/隔屏</x:v>
      </x:c>
      <x:c r="B41" s="9" t="str">
        <x:v>屏</x:v>
      </x:c>
      <x:c r="C41" s="9" t="str">
        <x:v>墨綠</x:v>
      </x:c>
      <x:c r="D41" s="7" t="n">
        <x:v>1</x:v>
      </x:c>
      <x:c r="E41" s="5" t="str">
        <x:v>件</x:v>
      </x:c>
      <x:c r="F41" s="5" t="str">
        <x:v>2</x:v>
      </x:c>
      <x:c r="G41" s="9" t="str">
        <x:v>墨綠 x1</x:v>
      </x:c>
      <x:c r="H41" s="9" t="str">
        <x:v>待確認</x:v>
      </x:c>
      <x:c r="I41" s="9" t="str">
        <x:v>品名可能為屏風</x:v>
      </x:c>
    </x:row>
    <x:row r="42">
      <x:c r="A42" s="9" t="str">
        <x:v>被套</x:v>
      </x:c>
      <x:c r="B42" s="9" t="str">
        <x:v>被套</x:v>
      </x:c>
      <x:c r="C42" s="9" t="str">
        <x:v>藍灰</x:v>
      </x:c>
      <x:c r="D42" s="7" t="n">
        <x:v>1</x:v>
      </x:c>
      <x:c r="E42" s="5" t="str">
        <x:v>件</x:v>
      </x:c>
      <x:c r="F42" s="5" t="str">
        <x:v>2</x:v>
      </x:c>
      <x:c r="G42" s="9" t="str">
        <x:v>被套：藍灰 x1</x:v>
      </x:c>
      <x:c r="H42" s="9" t="str">
        <x:v>可辨識</x:v>
      </x:c>
      <x:c r="I42" s="9" t="str"/>
    </x:row>
    <x:row r="43">
      <x:c r="A43" s="9" t="str">
        <x:v>被套</x:v>
      </x:c>
      <x:c r="B43" s="9" t="str">
        <x:v>被套</x:v>
      </x:c>
      <x:c r="C43" s="9" t="str">
        <x:v>果灰</x:v>
      </x:c>
      <x:c r="D43" s="7" t="n">
        <x:v>1</x:v>
      </x:c>
      <x:c r="E43" s="5" t="str">
        <x:v>件</x:v>
      </x:c>
      <x:c r="F43" s="5" t="str">
        <x:v>2</x:v>
      </x:c>
      <x:c r="G43" s="9" t="str">
        <x:v>果灰 x1</x:v>
      </x:c>
      <x:c r="H43" s="9" t="str">
        <x:v>待確認</x:v>
      </x:c>
      <x:c r="I43" s="9" t="str">
        <x:v>顏色字樣較淡</x:v>
      </x:c>
    </x:row>
    <x:row r="44">
      <x:c r="A44" s="9" t="str">
        <x:v>被套</x:v>
      </x:c>
      <x:c r="B44" s="9" t="str">
        <x:v>被套</x:v>
      </x:c>
      <x:c r="C44" s="9" t="str">
        <x:v>米</x:v>
      </x:c>
      <x:c r="D44" s="7" t="n">
        <x:v>1</x:v>
      </x:c>
      <x:c r="E44" s="5" t="str">
        <x:v>件</x:v>
      </x:c>
      <x:c r="F44" s="5" t="str">
        <x:v>2</x:v>
      </x:c>
      <x:c r="G44" s="9" t="str">
        <x:v>米 x1</x:v>
      </x:c>
      <x:c r="H44" s="9" t="str">
        <x:v>可辨識</x:v>
      </x:c>
      <x:c r="I44" s="9" t="str"/>
    </x:row>
    <x:row r="45">
      <x:c r="A45" s="9" t="str">
        <x:v>被套</x:v>
      </x:c>
      <x:c r="B45" s="9" t="str">
        <x:v>被套</x:v>
      </x:c>
      <x:c r="C45" s="9" t="str">
        <x:v>咖</x:v>
      </x:c>
      <x:c r="D45" s="7" t="n">
        <x:v>1</x:v>
      </x:c>
      <x:c r="E45" s="5" t="str">
        <x:v>件</x:v>
      </x:c>
      <x:c r="F45" s="5" t="str">
        <x:v>2</x:v>
      </x:c>
      <x:c r="G45" s="9" t="str">
        <x:v>咖 x1</x:v>
      </x:c>
      <x:c r="H45" s="9" t="str">
        <x:v>可辨識</x:v>
      </x:c>
      <x:c r="I45" s="9" t="str"/>
    </x:row>
    <x:row r="46">
      <x:c r="A46" s="9" t="str">
        <x:v>被套</x:v>
      </x:c>
      <x:c r="B46" s="9" t="str">
        <x:v>被套</x:v>
      </x:c>
      <x:c r="C46" s="9" t="str">
        <x:v>深咖</x:v>
      </x:c>
      <x:c r="D46" s="7" t="n">
        <x:v>1</x:v>
      </x:c>
      <x:c r="E46" s="5" t="str">
        <x:v>件</x:v>
      </x:c>
      <x:c r="F46" s="5" t="str">
        <x:v>2</x:v>
      </x:c>
      <x:c r="G46" s="9" t="str">
        <x:v>深咖 x1</x:v>
      </x:c>
      <x:c r="H46" s="9" t="str">
        <x:v>待確認</x:v>
      </x:c>
      <x:c r="I46" s="9" t="str"/>
    </x:row>
    <x:row r="47">
      <x:c r="A47" s="9" t="str">
        <x:v>被套</x:v>
      </x:c>
      <x:c r="B47" s="9" t="str">
        <x:v>被套</x:v>
      </x:c>
      <x:c r="C47" s="9" t="str">
        <x:v>綠</x:v>
      </x:c>
      <x:c r="D47" s="7" t="n">
        <x:v>1</x:v>
      </x:c>
      <x:c r="E47" s="5" t="str">
        <x:v>件</x:v>
      </x:c>
      <x:c r="F47" s="5" t="str">
        <x:v>2</x:v>
      </x:c>
      <x:c r="G47" s="9" t="str">
        <x:v>綠 x1</x:v>
      </x:c>
      <x:c r="H47" s="9" t="str">
        <x:v>可辨識</x:v>
      </x:c>
      <x:c r="I47" s="9" t="str"/>
    </x:row>
    <x:row r="48">
      <x:c r="A48" s="9" t="str">
        <x:v>被套</x:v>
      </x:c>
      <x:c r="B48" s="9" t="str">
        <x:v>被套</x:v>
      </x:c>
      <x:c r="C48" s="9" t="str">
        <x:v>芝</x:v>
      </x:c>
      <x:c r="D48" s="7" t="n">
        <x:v>1</x:v>
      </x:c>
      <x:c r="E48" s="5" t="str">
        <x:v>件</x:v>
      </x:c>
      <x:c r="F48" s="5" t="str">
        <x:v>2</x:v>
      </x:c>
      <x:c r="G48" s="9" t="str">
        <x:v>芝 x1</x:v>
      </x:c>
      <x:c r="H48" s="9" t="str">
        <x:v>待確認</x:v>
      </x:c>
      <x:c r="I48" s="9" t="str">
        <x:v>顏色名稱需確認</x:v>
      </x:c>
    </x:row>
    <x:row r="49">
      <x:c r="A49" s="9" t="str">
        <x:v>被套</x:v>
      </x:c>
      <x:c r="B49" s="9" t="str">
        <x:v>被套</x:v>
      </x:c>
      <x:c r="C49" s="9" t="str">
        <x:v>淺綠</x:v>
      </x:c>
      <x:c r="D49" s="7" t="n">
        <x:v>1</x:v>
      </x:c>
      <x:c r="E49" s="5" t="str">
        <x:v>件</x:v>
      </x:c>
      <x:c r="F49" s="5" t="str">
        <x:v>2</x:v>
      </x:c>
      <x:c r="G49" s="9" t="str">
        <x:v>淺綠 x1</x:v>
      </x:c>
      <x:c r="H49" s="9" t="str">
        <x:v>可辨識</x:v>
      </x:c>
      <x:c r="I49" s="9" t="str"/>
    </x:row>
    <x:row r="50">
      <x:c r="A50" s="9" t="str">
        <x:v>被子</x:v>
      </x:c>
      <x:c r="B50" s="9" t="str">
        <x:v>被子</x:v>
      </x:c>
      <x:c r="C50" s="9" t="str">
        <x:v>雙人</x:v>
      </x:c>
      <x:c r="D50" s="7" t="n">
        <x:v>4</x:v>
      </x:c>
      <x:c r="E50" s="5" t="str">
        <x:v>件</x:v>
      </x:c>
      <x:c r="F50" s="5" t="str">
        <x:v>2</x:v>
      </x:c>
      <x:c r="G50" s="9" t="str">
        <x:v>被子：雙人 x4</x:v>
      </x:c>
      <x:c r="H50" s="9" t="str">
        <x:v>可辨識</x:v>
      </x:c>
      <x:c r="I50" s="9" t="str"/>
    </x:row>
    <x:row r="51">
      <x:c r="A51" s="9" t="str">
        <x:v>被子</x:v>
      </x:c>
      <x:c r="B51" s="9" t="str">
        <x:v>被子</x:v>
      </x:c>
      <x:c r="C51" s="9" t="str">
        <x:v>單人</x:v>
      </x:c>
      <x:c r="D51" s="7" t="n">
        <x:v>1</x:v>
      </x:c>
      <x:c r="E51" s="5" t="str">
        <x:v>件</x:v>
      </x:c>
      <x:c r="F51" s="5" t="str">
        <x:v>2</x:v>
      </x:c>
      <x:c r="G51" s="9" t="str">
        <x:v>單人 x1</x:v>
      </x:c>
      <x:c r="H51" s="9" t="str">
        <x:v>可辨識</x:v>
      </x:c>
      <x:c r="I51" s="9" t="str"/>
    </x:row>
    <x:row r="52">
      <x:c r="A52" s="9" t="str">
        <x:v>家具/板材</x:v>
      </x:c>
      <x:c r="B52" s="9" t="str">
        <x:v>百特</x:v>
      </x:c>
      <x:c r="C52" s="9" t="str">
        <x:v>破鞋持繩</x:v>
      </x:c>
      <x:c r="D52" s="7" t="n">
        <x:v>1</x:v>
      </x:c>
      <x:c r="E52" s="5" t="str">
        <x:v>件</x:v>
      </x:c>
      <x:c r="F52" s="5" t="str">
        <x:v>2</x:v>
      </x:c>
      <x:c r="G52" s="9" t="str">
        <x:v>百特（破鞋持繩）x1</x:v>
      </x:c>
      <x:c r="H52" s="9" t="str">
        <x:v>待確認</x:v>
      </x:c>
      <x:c r="I52" s="9" t="str">
        <x:v>品名與括號內容筆跡不確定</x:v>
      </x:c>
    </x:row>
    <x:row r="53">
      <x:c r="A53" s="9" t="str">
        <x:v>家具/收納</x:v>
      </x:c>
      <x:c r="B53" s="9" t="str">
        <x:v>玫瑰金櫃</x:v>
      </x:c>
      <x:c r="C53" s="9" t="str">
        <x:v>60x80</x:v>
      </x:c>
      <x:c r="D53" s="7" t="n">
        <x:v>2</x:v>
      </x:c>
      <x:c r="E53" s="5" t="str">
        <x:v>座</x:v>
      </x:c>
      <x:c r="F53" s="5" t="str">
        <x:v>2</x:v>
      </x:c>
      <x:c r="G53" s="9" t="str">
        <x:v>玫瑰金櫃 x2（60x80）</x:v>
      </x:c>
      <x:c r="H53" s="9" t="str">
        <x:v>可辨識</x:v>
      </x:c>
      <x:c r="I53" s="9" t="str"/>
    </x:row>
    <x:row r="54">
      <x:c r="A54" s="9" t="str">
        <x:v>五金/桿件</x:v>
      </x:c>
      <x:c r="B54" s="9" t="str">
        <x:v>壁延桿</x:v>
      </x:c>
      <x:c r="C54" s="9" t="str"/>
      <x:c r="D54" s="7" t="n">
        <x:v>1</x:v>
      </x:c>
      <x:c r="E54" s="5" t="str">
        <x:v>支</x:v>
      </x:c>
      <x:c r="F54" s="5" t="str">
        <x:v>2</x:v>
      </x:c>
      <x:c r="G54" s="9" t="str">
        <x:v>壁延桿 x1</x:v>
      </x:c>
      <x:c r="H54" s="9" t="str">
        <x:v>待確認</x:v>
      </x:c>
      <x:c r="I54" s="9" t="str">
        <x:v>品名可能需校正</x:v>
      </x:c>
    </x:row>
    <x:row r="55">
      <x:c r="A55" s="9" t="str">
        <x:v>燈具</x:v>
      </x:c>
      <x:c r="B55" s="9" t="str">
        <x:v>雲暖燈架</x:v>
      </x:c>
      <x:c r="C55" s="9" t="str"/>
      <x:c r="D55" s="7" t="n">
        <x:v>1</x:v>
      </x:c>
      <x:c r="E55" s="5" t="str">
        <x:v>座</x:v>
      </x:c>
      <x:c r="F55" s="5" t="str">
        <x:v>2</x:v>
      </x:c>
      <x:c r="G55" s="9" t="str">
        <x:v>雲暖燈架 x1</x:v>
      </x:c>
      <x:c r="H55" s="9" t="str">
        <x:v>待確認</x:v>
      </x:c>
      <x:c r="I55" s="9" t="str">
        <x:v>品名可能需校正</x:v>
      </x:c>
    </x:row>
    <x:row r="56">
      <x:c r="A56" s="9" t="str">
        <x:v>家具/板材</x:v>
      </x:c>
      <x:c r="B56" s="9" t="str">
        <x:v>湯衣板</x:v>
      </x:c>
      <x:c r="C56" s="9" t="str"/>
      <x:c r="D56" s="7" t="n">
        <x:v>1</x:v>
      </x:c>
      <x:c r="E56" s="5" t="str">
        <x:v>片</x:v>
      </x:c>
      <x:c r="F56" s="5" t="str">
        <x:v>2</x:v>
      </x:c>
      <x:c r="G56" s="9" t="str">
        <x:v>湯衣板 x1</x:v>
      </x:c>
      <x:c r="H56" s="9" t="str">
        <x:v>待確認</x:v>
      </x:c>
      <x:c r="I56" s="9" t="str">
        <x:v>品名可能需校正</x:v>
      </x:c>
    </x:row>
    <x:row r="57">
      <x:c r="A57" s="9" t="str">
        <x:v>框畫/相框</x:v>
      </x:c>
      <x:c r="B57" s="9" t="str">
        <x:v>黑木框</x:v>
      </x:c>
      <x:c r="C57" s="9" t="str">
        <x:v>50x70</x:v>
      </x:c>
      <x:c r="D57" s="7" t="n">
        <x:v>4</x:v>
      </x:c>
      <x:c r="E57" s="5" t="str">
        <x:v>個</x:v>
      </x:c>
      <x:c r="F57" s="5" t="str">
        <x:v>2</x:v>
      </x:c>
      <x:c r="G57" s="9" t="str">
        <x:v>黑木框 x4（50x70）</x:v>
      </x:c>
      <x:c r="H57" s="9" t="str">
        <x:v>可辨識</x:v>
      </x:c>
      <x:c r="I57" s="9" t="str"/>
    </x:row>
    <x:row r="58">
      <x:c r="A58" s="9" t="str">
        <x:v>地墊</x:v>
      </x:c>
      <x:c r="B58" s="9" t="str">
        <x:v>黑色腳踏墊</x:v>
      </x:c>
      <x:c r="C58" s="9" t="str"/>
      <x:c r="D58" s="7" t="n">
        <x:v>1</x:v>
      </x:c>
      <x:c r="E58" s="5" t="str">
        <x:v>張</x:v>
      </x:c>
      <x:c r="F58" s="5" t="str">
        <x:v>2</x:v>
      </x:c>
      <x:c r="G58" s="9" t="str">
        <x:v>黑色腳踏墊 x1</x:v>
      </x:c>
      <x:c r="H58" s="9" t="str">
        <x:v>可辨識</x:v>
      </x:c>
      <x:c r="I58" s="9" t="str"/>
    </x:row>
    <x:row r="59">
      <x:c r="A59" s="9" t="str">
        <x:v>框畫/相框</x:v>
      </x:c>
      <x:c r="B59" s="9" t="str">
        <x:v>黑框</x:v>
      </x:c>
      <x:c r="C59" s="9" t="str">
        <x:v>24x33</x:v>
      </x:c>
      <x:c r="D59" s="7" t="n">
        <x:v>2</x:v>
      </x:c>
      <x:c r="E59" s="5" t="str">
        <x:v>個</x:v>
      </x:c>
      <x:c r="F59" s="5" t="str">
        <x:v>2</x:v>
      </x:c>
      <x:c r="G59" s="9" t="str">
        <x:v>黑框 x2（24x33）</x:v>
      </x:c>
      <x:c r="H59" s="9" t="str">
        <x:v>可辨識</x:v>
      </x:c>
      <x:c r="I59" s="9" t="str"/>
    </x:row>
    <x:row r="60">
      <x:c r="A60" s="9" t="str">
        <x:v>家具</x:v>
      </x:c>
      <x:c r="B60" s="9" t="str">
        <x:v>木矮桌</x:v>
      </x:c>
      <x:c r="C60" s="9" t="str"/>
      <x:c r="D60" s="7" t="n">
        <x:v>3</x:v>
      </x:c>
      <x:c r="E60" s="5" t="str">
        <x:v>張</x:v>
      </x:c>
      <x:c r="F60" s="5" t="str">
        <x:v>3</x:v>
      </x:c>
      <x:c r="G60" s="9" t="str">
        <x:v>木矮桌 x3</x:v>
      </x:c>
      <x:c r="H60" s="9" t="str">
        <x:v>可辨識</x:v>
      </x:c>
      <x:c r="I60" s="9" t="str"/>
    </x:row>
    <x:row r="61">
      <x:c r="A61" s="9" t="str">
        <x:v>裝飾品</x:v>
      </x:c>
      <x:c r="B61" s="9" t="str">
        <x:v>假書</x:v>
      </x:c>
      <x:c r="C61" s="9" t="str">
        <x:v>大</x:v>
      </x:c>
      <x:c r="D61" s="7" t="n">
        <x:v>43</x:v>
      </x:c>
      <x:c r="E61" s="5" t="str">
        <x:v>本</x:v>
      </x:c>
      <x:c r="F61" s="5" t="str">
        <x:v>3</x:v>
      </x:c>
      <x:c r="G61" s="9" t="str">
        <x:v>假書 大 x43</x:v>
      </x:c>
      <x:c r="H61" s="9" t="str">
        <x:v>可辨識</x:v>
      </x:c>
      <x:c r="I61" s="9" t="str"/>
    </x:row>
    <x:row r="62">
      <x:c r="A62" s="9" t="str">
        <x:v>裝飾品</x:v>
      </x:c>
      <x:c r="B62" s="9" t="str">
        <x:v>假書</x:v>
      </x:c>
      <x:c r="C62" s="9" t="str">
        <x:v>中</x:v>
      </x:c>
      <x:c r="D62" s="7" t="n">
        <x:v>4</x:v>
      </x:c>
      <x:c r="E62" s="5" t="str">
        <x:v>本</x:v>
      </x:c>
      <x:c r="F62" s="5" t="str">
        <x:v>3</x:v>
      </x:c>
      <x:c r="G62" s="9" t="str">
        <x:v>中 x4</x:v>
      </x:c>
      <x:c r="H62" s="9" t="str">
        <x:v>可辨識</x:v>
      </x:c>
      <x:c r="I62" s="9" t="str"/>
    </x:row>
    <x:row r="63">
      <x:c r="A63" s="9" t="str">
        <x:v>裝飾品</x:v>
      </x:c>
      <x:c r="B63" s="9" t="str">
        <x:v>假書</x:v>
      </x:c>
      <x:c r="C63" s="9" t="str">
        <x:v>小</x:v>
      </x:c>
      <x:c r="D63" s="7" t="n">
        <x:v>8</x:v>
      </x:c>
      <x:c r="E63" s="5" t="str">
        <x:v>本</x:v>
      </x:c>
      <x:c r="F63" s="5" t="str">
        <x:v>3</x:v>
      </x:c>
      <x:c r="G63" s="9" t="str">
        <x:v>小 x8</x:v>
      </x:c>
      <x:c r="H63" s="9" t="str">
        <x:v>可辨識</x:v>
      </x:c>
      <x:c r="I63" s="9" t="str"/>
    </x:row>
    <x:row r="64">
      <x:c r="A64" s="9" t="str">
        <x:v>裝飾品</x:v>
      </x:c>
      <x:c r="B64" s="9" t="str">
        <x:v>彩色鈎扣墊</x:v>
      </x:c>
      <x:c r="C64" s="9" t="str"/>
      <x:c r="D64" s="7" t="n">
        <x:v>1</x:v>
      </x:c>
      <x:c r="E64" s="5" t="str">
        <x:v>件</x:v>
      </x:c>
      <x:c r="F64" s="5" t="str">
        <x:v>3</x:v>
      </x:c>
      <x:c r="G64" s="9" t="str">
        <x:v>彩色鈎扣墊 x1</x:v>
      </x:c>
      <x:c r="H64" s="9" t="str">
        <x:v>待確認</x:v>
      </x:c>
      <x:c r="I64" s="9" t="str">
        <x:v>品名可能需校正</x:v>
      </x:c>
    </x:row>
    <x:row r="65">
      <x:c r="A65" s="9" t="str">
        <x:v>燈具</x:v>
      </x:c>
      <x:c r="B65" s="9" t="str">
        <x:v>壁燈</x:v>
      </x:c>
      <x:c r="C65" s="9" t="str"/>
      <x:c r="D65" s="7" t="n">
        <x:v>4</x:v>
      </x:c>
      <x:c r="E65" s="5" t="str">
        <x:v>盞</x:v>
      </x:c>
      <x:c r="F65" s="5" t="str">
        <x:v>3</x:v>
      </x:c>
      <x:c r="G65" s="9" t="str">
        <x:v>壁燈 x4</x:v>
      </x:c>
      <x:c r="H65" s="9" t="str">
        <x:v>可辨識</x:v>
      </x:c>
      <x:c r="I65" s="9" t="str">
        <x:v>旁註另有奶茶/大墨石/百...等字樣，需確認是否為壁燈細項</x:v>
      </x:c>
    </x:row>
    <x:row r="66">
      <x:c r="A66" s="9" t="str">
        <x:v>燈具</x:v>
      </x:c>
      <x:c r="B66" s="9" t="str">
        <x:v>壁燈</x:v>
      </x:c>
      <x:c r="C66" s="9" t="str">
        <x:v>奶茶</x:v>
      </x:c>
      <x:c r="D66" s="7" t="n">
        <x:v>1</x:v>
      </x:c>
      <x:c r="E66" s="5" t="str">
        <x:v>盞</x:v>
      </x:c>
      <x:c r="F66" s="5" t="str">
        <x:v>3</x:v>
      </x:c>
      <x:c r="G66" s="9" t="str">
        <x:v>（奶茶 x1）</x:v>
      </x:c>
      <x:c r="H66" s="9" t="str">
        <x:v>待確認</x:v>
      </x:c>
      <x:c r="I66" s="9" t="str">
        <x:v>疑似壁燈細項</x:v>
      </x:c>
    </x:row>
    <x:row r="67">
      <x:c r="A67" s="9" t="str">
        <x:v>燈具</x:v>
      </x:c>
      <x:c r="B67" s="9" t="str">
        <x:v>壁燈</x:v>
      </x:c>
      <x:c r="C67" s="9" t="str">
        <x:v>大墨石</x:v>
      </x:c>
      <x:c r="D67" s="7" t="n">
        <x:v>1</x:v>
      </x:c>
      <x:c r="E67" s="5" t="str">
        <x:v>盞</x:v>
      </x:c>
      <x:c r="F67" s="5" t="str">
        <x:v>3</x:v>
      </x:c>
      <x:c r="G67" s="9" t="str">
        <x:v>（大墨石 x1）</x:v>
      </x:c>
      <x:c r="H67" s="9" t="str">
        <x:v>待確認</x:v>
      </x:c>
      <x:c r="I67" s="9" t="str">
        <x:v>疑似壁燈細項</x:v>
      </x:c>
    </x:row>
    <x:row r="68">
      <x:c r="A68" s="9" t="str">
        <x:v>燈具</x:v>
      </x:c>
      <x:c r="B68" s="9" t="str">
        <x:v>壁燈</x:v>
      </x:c>
      <x:c r="C68" s="9" t="str">
        <x:v>百黃</x:v>
      </x:c>
      <x:c r="D68" s="7" t="n">
        <x:v>2</x:v>
      </x:c>
      <x:c r="E68" s="5" t="str">
        <x:v>盞</x:v>
      </x:c>
      <x:c r="F68" s="5" t="str">
        <x:v>3</x:v>
      </x:c>
      <x:c r="G68" s="9" t="str">
        <x:v>（百黃 x2）</x:v>
      </x:c>
      <x:c r="H68" s="9" t="str">
        <x:v>待確認</x:v>
      </x:c>
      <x:c r="I68" s="9" t="str">
        <x:v>疑似壁燈細項</x:v>
      </x:c>
    </x:row>
    <x:row r="69">
      <x:c r="A69" s="10" t="str">
        <x:v>燈具</x:v>
      </x:c>
      <x:c r="B69" s="10" t="str">
        <x:v>壁燈</x:v>
      </x:c>
      <x:c r="C69" s="10" t="str">
        <x:v>百星</x:v>
      </x:c>
      <x:c r="D69" s="8" t="n">
        <x:v>5</x:v>
      </x:c>
      <x:c r="E69" s="6" t="str">
        <x:v>盞</x:v>
      </x:c>
      <x:c r="F69" s="6" t="str">
        <x:v>3</x:v>
      </x:c>
      <x:c r="G69" s="10" t="str">
        <x:v>（百星 x5）</x:v>
      </x:c>
      <x:c r="H69" s="10" t="str">
        <x:v>待確認</x:v>
      </x:c>
      <x:c r="I69" s="10" t="str">
        <x:v>疑似壁燈細項</x:v>
      </x:c>
    </x:row>
  </x:sheetData>
  <x:conditionalFormatting sqref="H2:H69">
    <x:cfRule type="containsText" dxfId="0" priority="1" operator="containsText" text="待確認"/>
    <x:cfRule type="containsText" dxfId="1" priority="2" operator="containsText" text="可辨識"/>
  </x:conditionalFormatting>
  <x:pageMargins left="0.7" right="0.7" top="0.75" bottom="0.75" header="0.3" footer="0.3"/>
  <x:tableParts count="1">
    <x:tablePart xmlns:r="http://schemas.openxmlformats.org/officeDocument/2006/relationships" r:id="Ra20b236eb7574c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3" t="str">
        <x:v>類別</x:v>
      </x:c>
      <x:c r="B1" s="3" t="str">
        <x:v>品項筆數</x:v>
      </x:c>
      <x:c r="C1" s="3" t="str">
        <x:v>可加總數量</x:v>
      </x:c>
      <x:c r="D1" s="3" t="str">
        <x:v>待確認筆數</x:v>
      </x:c>
    </x:row>
    <x:row r="2">
      <x:c r="A2" s="1" t="str">
        <x:v>五金/桿件</x:v>
      </x:c>
      <x:c r="B2" s="11" t="n">
        <x:f>COUNTIF('整理庫存'!$A$2:$A$69,A2)</x:f>
        <x:v>1</x:v>
      </x:c>
      <x:c r="C2" s="11" t="n">
        <x:f>SUMIF('整理庫存'!$A$2:$A$69,A2,'整理庫存'!$D$2:$D$69)</x:f>
        <x:v>1</x:v>
      </x:c>
      <x:c r="D2" s="11" t="n">
        <x:f>COUNTIFS('整理庫存'!$A$2:$A$69,A2,'整理庫存'!$H$2:$H$69,"待確認")</x:f>
        <x:v>1</x:v>
      </x:c>
    </x:row>
    <x:row r="3">
      <x:c r="A3" s="1" t="str">
        <x:v>地毯</x:v>
      </x:c>
      <x:c r="B3" s="11" t="n">
        <x:f>COUNTIF('整理庫存'!$A$2:$A$69,A3)</x:f>
        <x:v>4</x:v>
      </x:c>
      <x:c r="C3" s="11" t="n">
        <x:f>SUMIF('整理庫存'!$A$2:$A$69,A3,'整理庫存'!$D$2:$D$69)</x:f>
        <x:v>15</x:v>
      </x:c>
      <x:c r="D3" s="11" t="n">
        <x:f>COUNTIFS('整理庫存'!$A$2:$A$69,A3,'整理庫存'!$H$2:$H$69,"待確認")</x:f>
        <x:v>1</x:v>
      </x:c>
    </x:row>
    <x:row r="4">
      <x:c r="A4" s="1" t="str">
        <x:v>地墊</x:v>
      </x:c>
      <x:c r="B4" s="11" t="n">
        <x:f>COUNTIF('整理庫存'!$A$2:$A$69,A4)</x:f>
        <x:v>1</x:v>
      </x:c>
      <x:c r="C4" s="11" t="n">
        <x:f>SUMIF('整理庫存'!$A$2:$A$69,A4,'整理庫存'!$D$2:$D$69)</x:f>
        <x:v>1</x:v>
      </x:c>
      <x:c r="D4" s="11" t="n">
        <x:f>COUNTIFS('整理庫存'!$A$2:$A$69,A4,'整理庫存'!$H$2:$H$69,"待確認")</x:f>
        <x:v>0</x:v>
      </x:c>
    </x:row>
    <x:row r="5">
      <x:c r="A5" s="1" t="str">
        <x:v>收納/架類</x:v>
      </x:c>
      <x:c r="B5" s="11" t="n">
        <x:f>COUNTIF('整理庫存'!$A$2:$A$69,A5)</x:f>
        <x:v>4</x:v>
      </x:c>
      <x:c r="C5" s="11" t="n">
        <x:f>SUMIF('整理庫存'!$A$2:$A$69,A5,'整理庫存'!$D$2:$D$69)</x:f>
        <x:v>5</x:v>
      </x:c>
      <x:c r="D5" s="11" t="n">
        <x:f>COUNTIFS('整理庫存'!$A$2:$A$69,A5,'整理庫存'!$H$2:$H$69,"待確認")</x:f>
        <x:v>4</x:v>
      </x:c>
    </x:row>
    <x:row r="6">
      <x:c r="A6" s="1" t="str">
        <x:v>床組</x:v>
      </x:c>
      <x:c r="B6" s="11" t="n">
        <x:f>COUNTIF('整理庫存'!$A$2:$A$69,A6)</x:f>
        <x:v>4</x:v>
      </x:c>
      <x:c r="C6" s="11" t="n">
        <x:f>SUMIF('整理庫存'!$A$2:$A$69,A6,'整理庫存'!$D$2:$D$69)</x:f>
        <x:v>10</x:v>
      </x:c>
      <x:c r="D6" s="11" t="n">
        <x:f>COUNTIFS('整理庫存'!$A$2:$A$69,A6,'整理庫存'!$H$2:$H$69,"待確認")</x:f>
        <x:v>1</x:v>
      </x:c>
    </x:row>
    <x:row r="7">
      <x:c r="A7" s="1" t="str">
        <x:v>抱枕</x:v>
      </x:c>
      <x:c r="B7" s="11" t="n">
        <x:f>COUNTIF('整理庫存'!$A$2:$A$69,A7)</x:f>
        <x:v>4</x:v>
      </x:c>
      <x:c r="C7" s="11" t="n">
        <x:f>SUMIF('整理庫存'!$A$2:$A$69,A7,'整理庫存'!$D$2:$D$69)</x:f>
        <x:v>7</x:v>
      </x:c>
      <x:c r="D7" s="11" t="n">
        <x:f>COUNTIFS('整理庫存'!$A$2:$A$69,A7,'整理庫存'!$H$2:$H$69,"待確認")</x:f>
        <x:v>3</x:v>
      </x:c>
    </x:row>
    <x:row r="8">
      <x:c r="A8" s="1" t="str">
        <x:v>枕頭</x:v>
      </x:c>
      <x:c r="B8" s="11" t="n">
        <x:f>COUNTIF('整理庫存'!$A$2:$A$69,A8)</x:f>
        <x:v>1</x:v>
      </x:c>
      <x:c r="C8" s="11" t="n">
        <x:f>SUMIF('整理庫存'!$A$2:$A$69,A8,'整理庫存'!$D$2:$D$69)</x:f>
        <x:v>9</x:v>
      </x:c>
      <x:c r="D8" s="11" t="n">
        <x:f>COUNTIFS('整理庫存'!$A$2:$A$69,A8,'整理庫存'!$H$2:$H$69,"待確認")</x:f>
        <x:v>0</x:v>
      </x:c>
    </x:row>
    <x:row r="9">
      <x:c r="A9" s="1" t="str">
        <x:v>屏風/隔屏</x:v>
      </x:c>
      <x:c r="B9" s="11" t="n">
        <x:f>COUNTIF('整理庫存'!$A$2:$A$69,A9)</x:f>
        <x:v>4</x:v>
      </x:c>
      <x:c r="C9" s="11" t="n">
        <x:f>SUMIF('整理庫存'!$A$2:$A$69,A9,'整理庫存'!$D$2:$D$69)</x:f>
        <x:v>5</x:v>
      </x:c>
      <x:c r="D9" s="11" t="n">
        <x:f>COUNTIFS('整理庫存'!$A$2:$A$69,A9,'整理庫存'!$H$2:$H$69,"待確認")</x:f>
        <x:v>4</x:v>
      </x:c>
    </x:row>
    <x:row r="10">
      <x:c r="A10" s="1" t="str">
        <x:v>建材/板材</x:v>
      </x:c>
      <x:c r="B10" s="11" t="n">
        <x:f>COUNTIF('整理庫存'!$A$2:$A$69,A10)</x:f>
        <x:v>1</x:v>
      </x:c>
      <x:c r="C10" s="11" t="n">
        <x:f>SUMIF('整理庫存'!$A$2:$A$69,A10,'整理庫存'!$D$2:$D$69)</x:f>
        <x:v>6</x:v>
      </x:c>
      <x:c r="D10" s="11" t="n">
        <x:f>COUNTIFS('整理庫存'!$A$2:$A$69,A10,'整理庫存'!$H$2:$H$69,"待確認")</x:f>
        <x:v>1</x:v>
      </x:c>
    </x:row>
    <x:row r="11">
      <x:c r="A11" s="1" t="str">
        <x:v>家具</x:v>
      </x:c>
      <x:c r="B11" s="11" t="n">
        <x:f>COUNTIF('整理庫存'!$A$2:$A$69,A11)</x:f>
        <x:v>1</x:v>
      </x:c>
      <x:c r="C11" s="11" t="n">
        <x:f>SUMIF('整理庫存'!$A$2:$A$69,A11,'整理庫存'!$D$2:$D$69)</x:f>
        <x:v>3</x:v>
      </x:c>
      <x:c r="D11" s="11" t="n">
        <x:f>COUNTIFS('整理庫存'!$A$2:$A$69,A11,'整理庫存'!$H$2:$H$69,"待確認")</x:f>
        <x:v>0</x:v>
      </x:c>
    </x:row>
    <x:row r="12">
      <x:c r="A12" s="1" t="str">
        <x:v>家具/收納</x:v>
      </x:c>
      <x:c r="B12" s="11" t="n">
        <x:f>COUNTIF('整理庫存'!$A$2:$A$69,A12)</x:f>
        <x:v>1</x:v>
      </x:c>
      <x:c r="C12" s="11" t="n">
        <x:f>SUMIF('整理庫存'!$A$2:$A$69,A12,'整理庫存'!$D$2:$D$69)</x:f>
        <x:v>2</x:v>
      </x:c>
      <x:c r="D12" s="11" t="n">
        <x:f>COUNTIFS('整理庫存'!$A$2:$A$69,A12,'整理庫存'!$H$2:$H$69,"待確認")</x:f>
        <x:v>0</x:v>
      </x:c>
    </x:row>
    <x:row r="13">
      <x:c r="A13" s="1" t="str">
        <x:v>家具/板材</x:v>
      </x:c>
      <x:c r="B13" s="11" t="n">
        <x:f>COUNTIF('整理庫存'!$A$2:$A$69,A13)</x:f>
        <x:v>2</x:v>
      </x:c>
      <x:c r="C13" s="11" t="n">
        <x:f>SUMIF('整理庫存'!$A$2:$A$69,A13,'整理庫存'!$D$2:$D$69)</x:f>
        <x:v>2</x:v>
      </x:c>
      <x:c r="D13" s="11" t="n">
        <x:f>COUNTIFS('整理庫存'!$A$2:$A$69,A13,'整理庫存'!$H$2:$H$69,"待確認")</x:f>
        <x:v>2</x:v>
      </x:c>
    </x:row>
    <x:row r="14">
      <x:c r="A14" s="1" t="str">
        <x:v>框畫/相框</x:v>
      </x:c>
      <x:c r="B14" s="11" t="n">
        <x:f>COUNTIF('整理庫存'!$A$2:$A$69,A14)</x:f>
        <x:v>2</x:v>
      </x:c>
      <x:c r="C14" s="11" t="n">
        <x:f>SUMIF('整理庫存'!$A$2:$A$69,A14,'整理庫存'!$D$2:$D$69)</x:f>
        <x:v>6</x:v>
      </x:c>
      <x:c r="D14" s="11" t="n">
        <x:f>COUNTIFS('整理庫存'!$A$2:$A$69,A14,'整理庫存'!$H$2:$H$69,"待確認")</x:f>
        <x:v>0</x:v>
      </x:c>
    </x:row>
    <x:row r="15">
      <x:c r="A15" s="1" t="str">
        <x:v>被子</x:v>
      </x:c>
      <x:c r="B15" s="11" t="n">
        <x:f>COUNTIF('整理庫存'!$A$2:$A$69,A15)</x:f>
        <x:v>2</x:v>
      </x:c>
      <x:c r="C15" s="11" t="n">
        <x:f>SUMIF('整理庫存'!$A$2:$A$69,A15,'整理庫存'!$D$2:$D$69)</x:f>
        <x:v>5</x:v>
      </x:c>
      <x:c r="D15" s="11" t="n">
        <x:f>COUNTIFS('整理庫存'!$A$2:$A$69,A15,'整理庫存'!$H$2:$H$69,"待確認")</x:f>
        <x:v>0</x:v>
      </x:c>
    </x:row>
    <x:row r="16">
      <x:c r="A16" s="1" t="str">
        <x:v>被套</x:v>
      </x:c>
      <x:c r="B16" s="11" t="n">
        <x:f>COUNTIF('整理庫存'!$A$2:$A$69,A16)</x:f>
        <x:v>8</x:v>
      </x:c>
      <x:c r="C16" s="11" t="n">
        <x:f>SUMIF('整理庫存'!$A$2:$A$69,A16,'整理庫存'!$D$2:$D$69)</x:f>
        <x:v>8</x:v>
      </x:c>
      <x:c r="D16" s="11" t="n">
        <x:f>COUNTIFS('整理庫存'!$A$2:$A$69,A16,'整理庫存'!$H$2:$H$69,"待確認")</x:f>
        <x:v>3</x:v>
      </x:c>
    </x:row>
    <x:row r="17">
      <x:c r="A17" s="1" t="str">
        <x:v>毯類</x:v>
      </x:c>
      <x:c r="B17" s="11" t="n">
        <x:f>COUNTIF('整理庫存'!$A$2:$A$69,A17)</x:f>
        <x:v>4</x:v>
      </x:c>
      <x:c r="C17" s="11" t="n">
        <x:f>SUMIF('整理庫存'!$A$2:$A$69,A17,'整理庫存'!$D$2:$D$69)</x:f>
        <x:v>4</x:v>
      </x:c>
      <x:c r="D17" s="11" t="n">
        <x:f>COUNTIFS('整理庫存'!$A$2:$A$69,A17,'整理庫存'!$H$2:$H$69,"待確認")</x:f>
        <x:v>0</x:v>
      </x:c>
    </x:row>
    <x:row r="18">
      <x:c r="A18" s="1" t="str">
        <x:v>裝飾品</x:v>
      </x:c>
      <x:c r="B18" s="11" t="n">
        <x:f>COUNTIF('整理庫存'!$A$2:$A$69,A18)</x:f>
        <x:v>4</x:v>
      </x:c>
      <x:c r="C18" s="11" t="n">
        <x:f>SUMIF('整理庫存'!$A$2:$A$69,A18,'整理庫存'!$D$2:$D$69)</x:f>
        <x:v>56</x:v>
      </x:c>
      <x:c r="D18" s="11" t="n">
        <x:f>COUNTIFS('整理庫存'!$A$2:$A$69,A18,'整理庫存'!$H$2:$H$69,"待確認")</x:f>
        <x:v>1</x:v>
      </x:c>
    </x:row>
    <x:row r="19">
      <x:c r="A19" s="1" t="str">
        <x:v>運動/其他</x:v>
      </x:c>
      <x:c r="B19" s="11" t="n">
        <x:f>COUNTIF('整理庫存'!$A$2:$A$69,A19)</x:f>
        <x:v>1</x:v>
      </x:c>
      <x:c r="C19" s="11" t="n">
        <x:f>SUMIF('整理庫存'!$A$2:$A$69,A19,'整理庫存'!$D$2:$D$69)</x:f>
        <x:v>4</x:v>
      </x:c>
      <x:c r="D19" s="11" t="n">
        <x:f>COUNTIFS('整理庫存'!$A$2:$A$69,A19,'整理庫存'!$H$2:$H$69,"待確認")</x:f>
        <x:v>1</x:v>
      </x:c>
    </x:row>
    <x:row r="20">
      <x:c r="A20" s="1" t="str">
        <x:v>電器</x:v>
      </x:c>
      <x:c r="B20" s="11" t="n">
        <x:f>COUNTIF('整理庫存'!$A$2:$A$69,A20)</x:f>
        <x:v>1</x:v>
      </x:c>
      <x:c r="C20" s="11" t="n">
        <x:f>SUMIF('整理庫存'!$A$2:$A$69,A20,'整理庫存'!$D$2:$D$69)</x:f>
        <x:v>1</x:v>
      </x:c>
      <x:c r="D20" s="11" t="n">
        <x:f>COUNTIFS('整理庫存'!$A$2:$A$69,A20,'整理庫存'!$H$2:$H$69,"待確認")</x:f>
        <x:v>0</x:v>
      </x:c>
    </x:row>
    <x:row r="21">
      <x:c r="A21" s="1" t="str">
        <x:v>寢具</x:v>
      </x:c>
      <x:c r="B21" s="11" t="n">
        <x:f>COUNTIF('整理庫存'!$A$2:$A$69,A21)</x:f>
        <x:v>8</x:v>
      </x:c>
      <x:c r="C21" s="11" t="n">
        <x:f>SUMIF('整理庫存'!$A$2:$A$69,A21,'整理庫存'!$D$2:$D$69)</x:f>
        <x:v>28</x:v>
      </x:c>
      <x:c r="D21" s="11" t="n">
        <x:f>COUNTIFS('整理庫存'!$A$2:$A$69,A21,'整理庫存'!$H$2:$H$69,"待確認")</x:f>
        <x:v>6</x:v>
      </x:c>
    </x:row>
    <x:row r="22">
      <x:c r="A22" s="1" t="str">
        <x:v>燈具</x:v>
      </x:c>
      <x:c r="B22" s="11" t="n">
        <x:f>COUNTIF('整理庫存'!$A$2:$A$69,A22)</x:f>
        <x:v>10</x:v>
      </x:c>
      <x:c r="C22" s="11" t="n">
        <x:f>SUMIF('整理庫存'!$A$2:$A$69,A22,'整理庫存'!$D$2:$D$69)</x:f>
        <x:v>43</x:v>
      </x:c>
      <x:c r="D22" s="11" t="n">
        <x:f>COUNTIFS('整理庫存'!$A$2:$A$69,A22,'整理庫存'!$H$2:$H$69,"待確認")</x:f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622d4543e114e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6" hidden="0" customWidth="1"/>
  </x:cols>
  <x:sheetData>
    <x:row r="1">
      <x:c r="A1" s="13" t="str">
        <x:v>欄位</x:v>
      </x:c>
      <x:c r="B1" s="14" t="str">
        <x:v>說明</x:v>
      </x:c>
    </x:row>
    <x:row r="2">
      <x:c r="A2" s="1" t="str">
        <x:v>辨識狀態</x:v>
      </x:c>
      <x:c r="B2" s="1" t="str">
        <x:v>可辨識表示掃描件上較清楚；待確認表示筆跡淡、品名不完整或數量需回頭核對。</x:v>
      </x:c>
    </x:row>
    <x:row r="3">
      <x:c r="A3" s="1" t="str">
        <x:v>來源頁</x:v>
      </x:c>
      <x:c r="B3" s="1" t="str">
        <x:v>對應原始 PDF 第幾頁。</x:v>
      </x:c>
    </x:row>
    <x:row r="4">
      <x:c r="A4" s="1" t="str">
        <x:v>原文辨識</x:v>
      </x:c>
      <x:c r="B4" s="1" t="str">
        <x:v>盡量保留掃描件上的原始寫法，方便與原稿比對。</x:v>
      </x:c>
    </x:row>
    <x:row r="5">
      <x:c r="A5" s="1" t="str">
        <x:v>數量空白</x:v>
      </x:c>
      <x:c r="B5" s="1" t="str">
        <x:v>表示有看到品名，但原稿未能可靠判讀數量。</x:v>
      </x:c>
    </x:row>
    <x:row r="6">
      <x:c r="A6" s="1" t="str">
        <x:v>建議</x:v>
      </x:c>
      <x:c r="B6" s="1" t="str">
        <x:v>匯入 Google Sheets 前，先篩選辨識狀態為待確認的列逐筆校對。</x:v>
      </x:c>
    </x:row>
  </x:sheetData>
  <x:pageMargins left="0.7" right="0.7" top="0.75" bottom="0.75" header="0.3" footer="0.3"/>
</x:worksheet>
</file>